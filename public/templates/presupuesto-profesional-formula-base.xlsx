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9a2835c91ec9228/Ant/postgrado 2025/Presupuestos/Presupuestos 2026/Programas/Presupuestos 2027-1/MMBIM/"/>
    </mc:Choice>
  </mc:AlternateContent>
  <xr:revisionPtr revIDLastSave="7" documentId="14_{E86FFDBC-BC43-443D-ABC7-2CA7C4518306}" xr6:coauthVersionLast="47" xr6:coauthVersionMax="47" xr10:uidLastSave="{3BCB9D3B-273B-4E52-B27A-93C780499A54}"/>
  <bookViews>
    <workbookView xWindow="-120" yWindow="-120" windowWidth="29040" windowHeight="15840" xr2:uid="{00000000-000D-0000-FFFF-FFFF00000000}"/>
  </bookViews>
  <sheets>
    <sheet name="Parámetros" sheetId="1" r:id="rId1"/>
    <sheet name="Flujo estudiantes" sheetId="2" r:id="rId2"/>
    <sheet name="Costo Directo de Docencia" sheetId="3" r:id="rId3"/>
    <sheet name="FLUJO TOTAL" sheetId="4" r:id="rId4"/>
    <sheet name="Prorrateo Staff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F15" i="6"/>
  <c r="F24" i="6"/>
  <c r="F27" i="6"/>
  <c r="F18" i="6"/>
  <c r="F9" i="6"/>
  <c r="F6" i="6"/>
  <c r="D27" i="6"/>
  <c r="D24" i="6"/>
  <c r="E23" i="6" s="1"/>
  <c r="F23" i="6" s="1"/>
  <c r="D18" i="6"/>
  <c r="D15" i="6"/>
  <c r="E14" i="6" s="1"/>
  <c r="F14" i="6" s="1"/>
  <c r="D9" i="6"/>
  <c r="D6" i="6"/>
  <c r="B10" i="2"/>
  <c r="C4" i="2"/>
  <c r="C5" i="2"/>
  <c r="B9" i="2"/>
  <c r="B11" i="2"/>
  <c r="C3" i="2"/>
  <c r="C10" i="1"/>
  <c r="C11" i="2" s="1"/>
  <c r="C9" i="1"/>
  <c r="C15" i="1"/>
  <c r="C18" i="6" s="1"/>
  <c r="C16" i="1"/>
  <c r="C27" i="6" s="1"/>
  <c r="C14" i="1"/>
  <c r="C9" i="6" s="1"/>
  <c r="C24" i="6"/>
  <c r="C15" i="6"/>
  <c r="C6" i="6"/>
  <c r="C22" i="3"/>
  <c r="H5" i="3"/>
  <c r="H6" i="3"/>
  <c r="H7" i="3"/>
  <c r="H8" i="3"/>
  <c r="H9" i="3"/>
  <c r="H10" i="3"/>
  <c r="H11" i="3"/>
  <c r="H12" i="3"/>
  <c r="H13" i="3"/>
  <c r="H14" i="3"/>
  <c r="H15" i="3"/>
  <c r="H16" i="3"/>
  <c r="H4" i="3"/>
  <c r="G5" i="3"/>
  <c r="G6" i="3"/>
  <c r="G7" i="3"/>
  <c r="G8" i="3"/>
  <c r="G9" i="3"/>
  <c r="G10" i="3"/>
  <c r="G11" i="3"/>
  <c r="G12" i="3"/>
  <c r="G13" i="3"/>
  <c r="G14" i="3"/>
  <c r="G15" i="3"/>
  <c r="G16" i="3"/>
  <c r="G4" i="3"/>
  <c r="B28" i="4"/>
  <c r="C26" i="4"/>
  <c r="B26" i="4"/>
  <c r="C19" i="4"/>
  <c r="C31" i="4"/>
  <c r="C33" i="4"/>
  <c r="B33" i="4"/>
  <c r="C28" i="4"/>
  <c r="C24" i="4"/>
  <c r="B24" i="4"/>
  <c r="B31" i="4"/>
  <c r="C21" i="4"/>
  <c r="B19" i="4"/>
  <c r="B10" i="4"/>
  <c r="C9" i="4"/>
  <c r="B9" i="4"/>
  <c r="B7" i="2"/>
  <c r="E5" i="6" l="1"/>
  <c r="F5" i="6" s="1"/>
  <c r="E13" i="6"/>
  <c r="F13" i="6" s="1"/>
  <c r="E7" i="6"/>
  <c r="F7" i="6" s="1"/>
  <c r="C12" i="4" s="1"/>
  <c r="G17" i="3"/>
  <c r="G18" i="3" s="1"/>
  <c r="B8" i="4" s="1"/>
  <c r="B11" i="4" s="1"/>
  <c r="H17" i="3"/>
  <c r="H18" i="3" s="1"/>
  <c r="C8" i="4" s="1"/>
  <c r="E25" i="6"/>
  <c r="F25" i="6" s="1"/>
  <c r="C15" i="4" s="1"/>
  <c r="E26" i="6"/>
  <c r="F26" i="6" s="1"/>
  <c r="E8" i="6"/>
  <c r="F8" i="6" s="1"/>
  <c r="E17" i="6"/>
  <c r="F17" i="6" s="1"/>
  <c r="E16" i="6"/>
  <c r="F16" i="6" s="1"/>
  <c r="E4" i="6"/>
  <c r="F4" i="6" s="1"/>
  <c r="E22" i="6"/>
  <c r="F22" i="6" s="1"/>
  <c r="B15" i="4" s="1"/>
  <c r="B21" i="4"/>
  <c r="C9" i="2"/>
  <c r="B13" i="4" l="1"/>
  <c r="C16" i="4"/>
  <c r="B12" i="4"/>
  <c r="B6" i="2"/>
  <c r="B8" i="2" s="1"/>
  <c r="B16" i="4" l="1"/>
  <c r="C6" i="2"/>
  <c r="C10" i="2"/>
  <c r="C12" i="2" s="1"/>
  <c r="B12" i="2"/>
  <c r="B4" i="4"/>
  <c r="B5" i="4" l="1"/>
  <c r="C8" i="2"/>
  <c r="C10" i="4"/>
  <c r="C7" i="2"/>
  <c r="B22" i="3" s="1"/>
  <c r="D22" i="3" s="1"/>
  <c r="C5" i="4"/>
  <c r="C6" i="4" s="1"/>
  <c r="B6" i="4" l="1"/>
  <c r="B7" i="4" s="1"/>
  <c r="C7" i="4"/>
  <c r="C4" i="4"/>
  <c r="C11" i="4"/>
  <c r="B35" i="4" l="1"/>
  <c r="B34" i="4"/>
  <c r="C35" i="4"/>
  <c r="C34" i="4"/>
  <c r="C36" i="4" l="1"/>
  <c r="C37" i="4" s="1"/>
  <c r="B36" i="4"/>
  <c r="B37" i="4" s="1"/>
  <c r="B38" i="4" s="1"/>
  <c r="C38" i="4" l="1"/>
  <c r="C41" i="4"/>
  <c r="B40" i="4"/>
  <c r="C39" i="4" s="1"/>
  <c r="B41" i="4"/>
  <c r="C40" i="4" l="1"/>
</calcChain>
</file>

<file path=xl/sharedStrings.xml><?xml version="1.0" encoding="utf-8"?>
<sst xmlns="http://schemas.openxmlformats.org/spreadsheetml/2006/main" count="150" uniqueCount="108">
  <si>
    <t>Años</t>
  </si>
  <si>
    <t>Arancel anual</t>
  </si>
  <si>
    <t>Matrícula</t>
  </si>
  <si>
    <t>Valor Docencia Tesista</t>
  </si>
  <si>
    <t>Incobrables</t>
  </si>
  <si>
    <t>Over Head Central</t>
  </si>
  <si>
    <t>Over Head Facultad</t>
  </si>
  <si>
    <t>Director Programa</t>
  </si>
  <si>
    <t>Asistente de Dirección</t>
  </si>
  <si>
    <t>Honorarios Charlas Vinculación Empresas</t>
  </si>
  <si>
    <t>Pasajes nacionales e internacionales</t>
  </si>
  <si>
    <t>Hospedaje nacional e internacional</t>
  </si>
  <si>
    <t>Difusión propia del programa</t>
  </si>
  <si>
    <t>Licencias de software</t>
  </si>
  <si>
    <t>Giro para rendir (gastos menores)</t>
  </si>
  <si>
    <t>Becas por pasantías</t>
  </si>
  <si>
    <t>Flujo Estudiantes</t>
  </si>
  <si>
    <t>CONCEPTOS</t>
  </si>
  <si>
    <t>año 2027</t>
  </si>
  <si>
    <t>Graduación (al año 2)</t>
  </si>
  <si>
    <t>Estudiantes totales</t>
  </si>
  <si>
    <t>Ingresos matrícula</t>
  </si>
  <si>
    <t>Ingresos arancel sin descuento</t>
  </si>
  <si>
    <t>Ingresos arancel descuento 15%</t>
  </si>
  <si>
    <t>Ingresos arancel descuento 25%</t>
  </si>
  <si>
    <t>Ingresos arancel total</t>
  </si>
  <si>
    <t>DETALLE DE HORAS DIRECTAS</t>
  </si>
  <si>
    <t>Semestre</t>
  </si>
  <si>
    <t>Asignatura</t>
  </si>
  <si>
    <t>Horas 2027</t>
  </si>
  <si>
    <t>Investigación Aplicada a Industria AEC</t>
  </si>
  <si>
    <t>Teoría del BIM y Políticas Públicas</t>
  </si>
  <si>
    <t>Modelamiento BIM</t>
  </si>
  <si>
    <t>Sustentabilidad y Certificación de Proyectos</t>
  </si>
  <si>
    <t>BIM para Arquitectura</t>
  </si>
  <si>
    <t>BIM para Ingeniería</t>
  </si>
  <si>
    <t>BIM para Construcción</t>
  </si>
  <si>
    <t>Manufactura Avanzada</t>
  </si>
  <si>
    <t>Programación en BIM</t>
  </si>
  <si>
    <t>Interoperabilidad</t>
  </si>
  <si>
    <t>Estándares y Roles</t>
  </si>
  <si>
    <t>Dirección y Formulación de Proyectos I+D+i</t>
  </si>
  <si>
    <t>Trabajo de Graduación</t>
  </si>
  <si>
    <t>Suma</t>
  </si>
  <si>
    <t>DETALLE</t>
  </si>
  <si>
    <t>Aranceles</t>
  </si>
  <si>
    <t>Incobrables (15%)</t>
  </si>
  <si>
    <t>Docentes convenio</t>
  </si>
  <si>
    <t>Docentes hora de reemplazo</t>
  </si>
  <si>
    <t>Docente tesista</t>
  </si>
  <si>
    <t>COSTOS ACADÉMICOS</t>
  </si>
  <si>
    <t>Director programa</t>
  </si>
  <si>
    <t>HONORARIOS NO ACADÉMICOS</t>
  </si>
  <si>
    <t>Materiales básicos de enseñanza</t>
  </si>
  <si>
    <t>Textos impresos</t>
  </si>
  <si>
    <t>LIBROS Y PUBLICACIONES TÉCNICAS</t>
  </si>
  <si>
    <t>DIFUSIÓN</t>
  </si>
  <si>
    <t>ADQUISICIÓN DE PROGRAMAS O LICENCIAS</t>
  </si>
  <si>
    <t>OTROS SERVICIOS</t>
  </si>
  <si>
    <t>AYUDAS INTERNAS</t>
  </si>
  <si>
    <t>RETENCIONES</t>
  </si>
  <si>
    <t>TOTAL COSTOS Y GASTOS DE ADM.</t>
  </si>
  <si>
    <t>FLUJO DE CAJA NETO</t>
  </si>
  <si>
    <t>Arrastre inicial anual</t>
  </si>
  <si>
    <t>SALDO FINAL ACUMULADO</t>
  </si>
  <si>
    <t>RENDIMIENTO OPERACIONAL</t>
  </si>
  <si>
    <t>Tutoría Académica de seguimiento en Canvas</t>
  </si>
  <si>
    <t>PASAJES Y FLETES</t>
  </si>
  <si>
    <t>Valor Hora Docencia Honorario</t>
  </si>
  <si>
    <t>Valor Hora Docencia Reemplazo (carta de compromiso)</t>
  </si>
  <si>
    <t>Viáticos honorarios</t>
  </si>
  <si>
    <t>INGRESOS TOTAL</t>
  </si>
  <si>
    <t>Secciones</t>
  </si>
  <si>
    <t>Semanas</t>
  </si>
  <si>
    <t>Suma Valorizada</t>
  </si>
  <si>
    <t>VIÁTICOS HONORARIOS NACIONALES</t>
  </si>
  <si>
    <t>Año y semestre de inicio</t>
  </si>
  <si>
    <t>Tutoría Académica Canvas</t>
  </si>
  <si>
    <t>DOCENCIA TESISTA / TRABAJO DE GRADUACIÓN</t>
  </si>
  <si>
    <t>Concepto</t>
  </si>
  <si>
    <t>Dirección del programa</t>
  </si>
  <si>
    <t>Año</t>
  </si>
  <si>
    <t>Cohorte</t>
  </si>
  <si>
    <t>Situación durante el año</t>
  </si>
  <si>
    <t>Semestres activos</t>
  </si>
  <si>
    <t>Valor por semestre activo</t>
  </si>
  <si>
    <t>Monto prorrateado</t>
  </si>
  <si>
    <t>Cohorte 2026</t>
  </si>
  <si>
    <t>Cohorte 2027</t>
  </si>
  <si>
    <t>Total 2027</t>
  </si>
  <si>
    <t>Descuento 1</t>
  </si>
  <si>
    <t>Descuento 2</t>
  </si>
  <si>
    <t>Magíster en Metodologías BIM - 2027-1</t>
  </si>
  <si>
    <t>2027-1S</t>
  </si>
  <si>
    <t>año 2028</t>
  </si>
  <si>
    <t>Horas 2028</t>
  </si>
  <si>
    <t>Base estudiantes 2028</t>
  </si>
  <si>
    <t>Valor unitario 2028</t>
  </si>
  <si>
    <t>Costo 2028</t>
  </si>
  <si>
    <t>Magíster en Metodologías BIM (2027-1)</t>
  </si>
  <si>
    <t>Cohorte 2028</t>
  </si>
  <si>
    <t>Total 2028</t>
  </si>
  <si>
    <t>Descuento 25%</t>
  </si>
  <si>
    <t>Descuento 30%</t>
  </si>
  <si>
    <t>Sin descuento</t>
  </si>
  <si>
    <t>Primer y segundo semestre 2027</t>
  </si>
  <si>
    <t>Primer y segundo semestre 2028</t>
  </si>
  <si>
    <t xml:space="preserve">Coffee break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</si>
</sst>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#,##0;\ \(#,##0\);\-;\ @"/>
    <numFmt numFmtId="166" formatCode="&quot;$&quot;#,##0;\ \(&quot;$&quot;#,##0\);\-;\ @"/>
    <numFmt numFmtId="167" formatCode="&quot;$&quot;#,##0"/>
  </numFmts>
  <fonts count="17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libri"/>
      <family val="2"/>
      <scheme val="major"/>
    </font>
    <font>
      <b/>
      <sz val="11"/>
      <color rgb="FFFFFFFF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B2F64"/>
      <name val="Calibri"/>
      <family val="2"/>
      <scheme val="minor"/>
    </font>
    <font>
      <sz val="11"/>
      <color theme="1"/>
      <name val="Carlito"/>
    </font>
    <font>
      <b/>
      <sz val="11"/>
      <color theme="1"/>
      <name val="Carlito"/>
    </font>
    <font>
      <sz val="11"/>
      <color rgb="FF000000"/>
      <name val="Calibri"/>
      <family val="2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D9E2F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305496"/>
      </top>
      <bottom style="medium">
        <color rgb="FF305496"/>
      </bottom>
      <diagonal/>
    </border>
    <border>
      <left/>
      <right/>
      <top style="thin">
        <color rgb="FF305496"/>
      </top>
      <bottom/>
      <diagonal/>
    </border>
    <border>
      <left/>
      <right/>
      <top/>
      <bottom style="medium">
        <color rgb="FF305496"/>
      </bottom>
      <diagonal/>
    </border>
    <border>
      <left style="thin">
        <color rgb="FF305496"/>
      </left>
      <right/>
      <top/>
      <bottom/>
      <diagonal/>
    </border>
    <border>
      <left/>
      <right/>
      <top/>
      <bottom style="thin">
        <color rgb="FF30549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0">
    <xf numFmtId="0" fontId="0" fillId="0" borderId="0" xfId="0"/>
    <xf numFmtId="164" fontId="6" fillId="0" borderId="1" xfId="0" applyNumberFormat="1" applyFont="1" applyBorder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/>
    <xf numFmtId="0" fontId="9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165" fontId="8" fillId="0" borderId="0" xfId="0" applyNumberFormat="1" applyFont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0" fontId="7" fillId="2" borderId="5" xfId="0" applyFont="1" applyFill="1" applyBorder="1" applyAlignment="1">
      <alignment horizontal="left" vertical="center"/>
    </xf>
    <xf numFmtId="0" fontId="7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1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165" fontId="8" fillId="0" borderId="0" xfId="0" applyNumberFormat="1" applyFont="1"/>
    <xf numFmtId="165" fontId="9" fillId="4" borderId="0" xfId="0" applyNumberFormat="1" applyFont="1" applyFill="1"/>
    <xf numFmtId="164" fontId="8" fillId="0" borderId="0" xfId="0" applyNumberFormat="1" applyFont="1"/>
    <xf numFmtId="164" fontId="9" fillId="4" borderId="0" xfId="0" applyNumberFormat="1" applyFont="1" applyFill="1"/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right" vertical="center"/>
    </xf>
    <xf numFmtId="0" fontId="8" fillId="4" borderId="3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9" fontId="9" fillId="6" borderId="0" xfId="0" applyNumberFormat="1" applyFont="1" applyFill="1" applyAlignment="1">
      <alignment vertical="center"/>
    </xf>
    <xf numFmtId="166" fontId="8" fillId="4" borderId="3" xfId="0" applyNumberFormat="1" applyFont="1" applyFill="1" applyBorder="1" applyAlignment="1">
      <alignment vertical="center"/>
    </xf>
    <xf numFmtId="166" fontId="8" fillId="4" borderId="1" xfId="0" applyNumberFormat="1" applyFont="1" applyFill="1" applyBorder="1" applyAlignment="1">
      <alignment vertical="center"/>
    </xf>
    <xf numFmtId="166" fontId="9" fillId="5" borderId="1" xfId="0" applyNumberFormat="1" applyFont="1" applyFill="1" applyBorder="1" applyAlignment="1">
      <alignment vertical="center"/>
    </xf>
    <xf numFmtId="166" fontId="8" fillId="7" borderId="1" xfId="0" applyNumberFormat="1" applyFont="1" applyFill="1" applyBorder="1" applyAlignment="1">
      <alignment vertical="center"/>
    </xf>
    <xf numFmtId="166" fontId="9" fillId="8" borderId="1" xfId="0" applyNumberFormat="1" applyFont="1" applyFill="1" applyBorder="1" applyAlignment="1">
      <alignment vertical="center"/>
    </xf>
    <xf numFmtId="166" fontId="9" fillId="8" borderId="2" xfId="0" applyNumberFormat="1" applyFont="1" applyFill="1" applyBorder="1" applyAlignment="1">
      <alignment vertical="center"/>
    </xf>
    <xf numFmtId="166" fontId="9" fillId="6" borderId="4" xfId="0" applyNumberFormat="1" applyFont="1" applyFill="1" applyBorder="1" applyAlignment="1">
      <alignment vertical="center"/>
    </xf>
    <xf numFmtId="166" fontId="8" fillId="6" borderId="0" xfId="0" applyNumberFormat="1" applyFont="1" applyFill="1" applyAlignment="1">
      <alignment vertical="center"/>
    </xf>
    <xf numFmtId="166" fontId="9" fillId="6" borderId="0" xfId="0" applyNumberFormat="1" applyFont="1" applyFill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" fontId="13" fillId="0" borderId="9" xfId="0" applyNumberFormat="1" applyFont="1" applyBorder="1"/>
    <xf numFmtId="0" fontId="13" fillId="0" borderId="10" xfId="0" applyFont="1" applyBorder="1"/>
    <xf numFmtId="164" fontId="13" fillId="0" borderId="10" xfId="0" applyNumberFormat="1" applyFont="1" applyBorder="1"/>
    <xf numFmtId="164" fontId="13" fillId="0" borderId="11" xfId="0" applyNumberFormat="1" applyFont="1" applyBorder="1"/>
    <xf numFmtId="1" fontId="14" fillId="0" borderId="9" xfId="0" applyNumberFormat="1" applyFont="1" applyBorder="1"/>
    <xf numFmtId="0" fontId="14" fillId="0" borderId="10" xfId="0" applyFont="1" applyBorder="1"/>
    <xf numFmtId="167" fontId="14" fillId="0" borderId="10" xfId="0" applyNumberFormat="1" applyFont="1" applyBorder="1"/>
    <xf numFmtId="164" fontId="14" fillId="0" borderId="10" xfId="0" applyNumberFormat="1" applyFont="1" applyBorder="1"/>
    <xf numFmtId="164" fontId="14" fillId="0" borderId="11" xfId="0" applyNumberFormat="1" applyFont="1" applyBorder="1"/>
    <xf numFmtId="1" fontId="14" fillId="0" borderId="7" xfId="0" applyNumberFormat="1" applyFont="1" applyBorder="1"/>
    <xf numFmtId="0" fontId="14" fillId="0" borderId="8" xfId="0" applyFont="1" applyBorder="1"/>
    <xf numFmtId="164" fontId="14" fillId="0" borderId="8" xfId="0" applyNumberFormat="1" applyFont="1" applyBorder="1"/>
    <xf numFmtId="164" fontId="14" fillId="0" borderId="12" xfId="0" applyNumberFormat="1" applyFont="1" applyBorder="1"/>
    <xf numFmtId="167" fontId="14" fillId="0" borderId="8" xfId="0" applyNumberFormat="1" applyFont="1" applyBorder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0" fontId="6" fillId="0" borderId="3" xfId="0" applyFont="1" applyBorder="1"/>
    <xf numFmtId="164" fontId="6" fillId="0" borderId="3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15" fillId="0" borderId="1" xfId="0" applyFont="1" applyBorder="1"/>
    <xf numFmtId="9" fontId="6" fillId="0" borderId="1" xfId="0" applyNumberFormat="1" applyFont="1" applyBorder="1"/>
    <xf numFmtId="0" fontId="6" fillId="0" borderId="6" xfId="0" applyFont="1" applyBorder="1"/>
    <xf numFmtId="164" fontId="6" fillId="0" borderId="6" xfId="0" applyNumberFormat="1" applyFont="1" applyBorder="1"/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9" fontId="1" fillId="2" borderId="10" xfId="1" applyFont="1" applyFill="1" applyBorder="1" applyAlignment="1">
      <alignment horizontal="center" vertical="center"/>
    </xf>
    <xf numFmtId="9" fontId="13" fillId="0" borderId="10" xfId="1" applyFont="1" applyBorder="1"/>
    <xf numFmtId="9" fontId="14" fillId="0" borderId="10" xfId="1" applyFont="1" applyBorder="1"/>
    <xf numFmtId="9" fontId="14" fillId="0" borderId="8" xfId="1" applyFont="1" applyBorder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305496"/>
      <color rgb="FFD9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59B090-9C24-46EF-A573-DF22957772A8}">
  <we:reference id="wa200010215" version="2.0.0.0" store="es-ES" storeType="OMEX"/>
  <we:alternateReferences>
    <we:reference id="WA200010215" version="2.0.0.0" store="" storeType="OMEX"/>
  </we:alternateReferences>
  <we:properties>
    <we:property name="bps.codex_control.document_id" value="&quot;84862973-71e3-4996-84d1-49eb0c7c4be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Normal="100" workbookViewId="0">
      <selection activeCell="G10" sqref="G10:H10"/>
    </sheetView>
  </sheetViews>
  <sheetFormatPr baseColWidth="10" defaultColWidth="9" defaultRowHeight="14.25"/>
  <cols>
    <col min="1" max="1" width="58.625" customWidth="1"/>
    <col min="2" max="3" width="16" customWidth="1"/>
  </cols>
  <sheetData>
    <row r="1" spans="1:3" ht="20.45" customHeight="1">
      <c r="A1" s="62" t="s">
        <v>92</v>
      </c>
      <c r="B1" s="63"/>
      <c r="C1" s="63"/>
    </row>
    <row r="2" spans="1:3" ht="20.45" customHeight="1">
      <c r="A2" s="64" t="s">
        <v>0</v>
      </c>
      <c r="B2" s="64">
        <v>2027</v>
      </c>
      <c r="C2" s="64">
        <v>2028</v>
      </c>
    </row>
    <row r="3" spans="1:3" ht="20.45" customHeight="1">
      <c r="A3" s="65" t="s">
        <v>1</v>
      </c>
      <c r="B3" s="66">
        <v>3937500</v>
      </c>
      <c r="C3" s="66">
        <v>3937500</v>
      </c>
    </row>
    <row r="4" spans="1:3" ht="20.45" customHeight="1">
      <c r="A4" s="67" t="s">
        <v>2</v>
      </c>
      <c r="B4" s="68">
        <v>192150</v>
      </c>
      <c r="C4" s="68">
        <v>201758</v>
      </c>
    </row>
    <row r="5" spans="1:3" ht="20.45" customHeight="1">
      <c r="A5" s="67" t="s">
        <v>68</v>
      </c>
      <c r="B5" s="68">
        <v>35000</v>
      </c>
      <c r="C5" s="68">
        <v>35000</v>
      </c>
    </row>
    <row r="6" spans="1:3" ht="20.45" customHeight="1">
      <c r="A6" s="67" t="s">
        <v>69</v>
      </c>
      <c r="B6" s="68">
        <v>23152.5</v>
      </c>
      <c r="C6" s="68">
        <v>24310.125</v>
      </c>
    </row>
    <row r="7" spans="1:3" ht="20.45" customHeight="1">
      <c r="A7" s="67" t="s">
        <v>3</v>
      </c>
      <c r="B7" s="68"/>
      <c r="C7" s="68">
        <v>262500</v>
      </c>
    </row>
    <row r="8" spans="1:3" ht="20.45" customHeight="1">
      <c r="A8" s="67" t="s">
        <v>76</v>
      </c>
      <c r="B8" s="1" t="s">
        <v>93</v>
      </c>
      <c r="C8" s="68"/>
    </row>
    <row r="9" spans="1:3" ht="20.45" customHeight="1">
      <c r="A9" s="69" t="s">
        <v>90</v>
      </c>
      <c r="B9" s="70">
        <v>0.25</v>
      </c>
      <c r="C9" s="70">
        <f>+B9</f>
        <v>0.25</v>
      </c>
    </row>
    <row r="10" spans="1:3" ht="20.45" customHeight="1">
      <c r="A10" s="69" t="s">
        <v>91</v>
      </c>
      <c r="B10" s="70">
        <v>0.3</v>
      </c>
      <c r="C10" s="70">
        <f t="shared" ref="C10" si="0">+B10</f>
        <v>0.3</v>
      </c>
    </row>
    <row r="11" spans="1:3" ht="20.45" customHeight="1">
      <c r="A11" s="67" t="s">
        <v>4</v>
      </c>
      <c r="B11" s="70">
        <v>0.15</v>
      </c>
      <c r="C11" s="70">
        <v>0.15</v>
      </c>
    </row>
    <row r="12" spans="1:3" ht="20.45" customHeight="1">
      <c r="A12" s="67" t="s">
        <v>5</v>
      </c>
      <c r="B12" s="70">
        <v>0.2</v>
      </c>
      <c r="C12" s="70">
        <v>0.2</v>
      </c>
    </row>
    <row r="13" spans="1:3" ht="20.45" customHeight="1">
      <c r="A13" s="67" t="s">
        <v>6</v>
      </c>
      <c r="B13" s="70">
        <v>0.1</v>
      </c>
      <c r="C13" s="70">
        <v>0.1</v>
      </c>
    </row>
    <row r="14" spans="1:3" ht="20.45" customHeight="1">
      <c r="A14" s="67" t="s">
        <v>7</v>
      </c>
      <c r="B14" s="68">
        <v>4152675</v>
      </c>
      <c r="C14" s="68">
        <f>+ROUNDUP(B14*1.05,0)</f>
        <v>4360309</v>
      </c>
    </row>
    <row r="15" spans="1:3" ht="20.45" customHeight="1">
      <c r="A15" s="67" t="s">
        <v>8</v>
      </c>
      <c r="B15" s="68">
        <v>2100000</v>
      </c>
      <c r="C15" s="68">
        <f t="shared" ref="C15:C16" si="1">+ROUNDUP(B15*1.05,0)</f>
        <v>2205000</v>
      </c>
    </row>
    <row r="16" spans="1:3" ht="20.45" customHeight="1">
      <c r="A16" s="71" t="s">
        <v>77</v>
      </c>
      <c r="B16" s="72">
        <v>1050000</v>
      </c>
      <c r="C16" s="72">
        <f t="shared" si="1"/>
        <v>1102500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Normal="100" workbookViewId="0">
      <selection activeCell="B10" sqref="B10"/>
    </sheetView>
  </sheetViews>
  <sheetFormatPr baseColWidth="10" defaultColWidth="9" defaultRowHeight="15"/>
  <cols>
    <col min="1" max="1" width="46" style="4" customWidth="1"/>
    <col min="2" max="3" width="16" style="4" customWidth="1"/>
    <col min="4" max="16384" width="9" style="4"/>
  </cols>
  <sheetData>
    <row r="1" spans="1:3" ht="15" customHeight="1">
      <c r="A1" s="3" t="s">
        <v>16</v>
      </c>
      <c r="B1" s="3"/>
      <c r="C1" s="3"/>
    </row>
    <row r="2" spans="1:3" ht="15" customHeight="1">
      <c r="A2" s="5" t="s">
        <v>17</v>
      </c>
      <c r="B2" s="5" t="s">
        <v>18</v>
      </c>
      <c r="C2" s="5" t="s">
        <v>94</v>
      </c>
    </row>
    <row r="3" spans="1:3" ht="15" customHeight="1">
      <c r="A3" s="4" t="s">
        <v>104</v>
      </c>
      <c r="B3" s="4">
        <v>4</v>
      </c>
      <c r="C3" s="4">
        <f>+B3</f>
        <v>4</v>
      </c>
    </row>
    <row r="4" spans="1:3" ht="15" customHeight="1">
      <c r="A4" s="4" t="s">
        <v>102</v>
      </c>
      <c r="B4" s="4">
        <v>5</v>
      </c>
      <c r="C4" s="4">
        <f t="shared" ref="C4:C5" si="0">+B4</f>
        <v>5</v>
      </c>
    </row>
    <row r="5" spans="1:3" ht="15" customHeight="1">
      <c r="A5" s="4" t="s">
        <v>103</v>
      </c>
      <c r="B5" s="4">
        <v>3</v>
      </c>
      <c r="C5" s="4">
        <f t="shared" si="0"/>
        <v>3</v>
      </c>
    </row>
    <row r="6" spans="1:3" ht="15" customHeight="1">
      <c r="A6" s="9" t="s">
        <v>20</v>
      </c>
      <c r="B6" s="19">
        <f>SUM(B3:B5)</f>
        <v>12</v>
      </c>
      <c r="C6" s="19">
        <f>SUM(C3:C5)</f>
        <v>12</v>
      </c>
    </row>
    <row r="7" spans="1:3" ht="15" customHeight="1">
      <c r="A7" s="4" t="s">
        <v>19</v>
      </c>
      <c r="B7" s="18">
        <f>0</f>
        <v>0</v>
      </c>
      <c r="C7" s="18">
        <f>C6</f>
        <v>12</v>
      </c>
    </row>
    <row r="8" spans="1:3" ht="15" customHeight="1">
      <c r="A8" s="4" t="s">
        <v>21</v>
      </c>
      <c r="B8" s="20">
        <f>B6*Parámetros!$B$4</f>
        <v>2305800</v>
      </c>
      <c r="C8" s="20">
        <f>C6*Parámetros!$C$4</f>
        <v>2421096</v>
      </c>
    </row>
    <row r="9" spans="1:3" ht="15" customHeight="1">
      <c r="A9" s="4" t="s">
        <v>22</v>
      </c>
      <c r="B9" s="20">
        <f>(B3)*Parámetros!$B$3</f>
        <v>15750000</v>
      </c>
      <c r="C9" s="20">
        <f>(C3)*Parámetros!$C$3</f>
        <v>15750000</v>
      </c>
    </row>
    <row r="10" spans="1:3" ht="15" customHeight="1">
      <c r="A10" s="4" t="s">
        <v>23</v>
      </c>
      <c r="B10" s="20">
        <f>(B4)*Parámetros!$B$3*(1-Parámetros!$B$9)</f>
        <v>14765625</v>
      </c>
      <c r="C10" s="20">
        <f>(C4)*Parámetros!$C$3*(1-Parámetros!$C$9)</f>
        <v>14765625</v>
      </c>
    </row>
    <row r="11" spans="1:3" ht="15" customHeight="1">
      <c r="A11" s="4" t="s">
        <v>24</v>
      </c>
      <c r="B11" s="20">
        <f>(B5)*Parámetros!$B$3*(1-Parámetros!$B$10)</f>
        <v>8268749.9999999991</v>
      </c>
      <c r="C11" s="20">
        <f>(C5)*Parámetros!$C$3*(1-Parámetros!$C$10)</f>
        <v>8268749.9999999991</v>
      </c>
    </row>
    <row r="12" spans="1:3" ht="15" customHeight="1">
      <c r="A12" s="9" t="s">
        <v>25</v>
      </c>
      <c r="B12" s="21">
        <f>SUM(B9:B11)</f>
        <v>38784375</v>
      </c>
      <c r="C12" s="21">
        <f>SUM(C9:C11)</f>
        <v>38784375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2"/>
  <sheetViews>
    <sheetView workbookViewId="0">
      <selection activeCell="H16" sqref="H16"/>
    </sheetView>
  </sheetViews>
  <sheetFormatPr baseColWidth="10" defaultColWidth="9" defaultRowHeight="15"/>
  <cols>
    <col min="1" max="1" width="13.875" style="4" customWidth="1"/>
    <col min="2" max="2" width="42" style="4" customWidth="1"/>
    <col min="3" max="3" width="8.875" style="4" bestFit="1" customWidth="1"/>
    <col min="4" max="4" width="10.125" style="4" bestFit="1" customWidth="1"/>
    <col min="5" max="6" width="10.625" style="4" bestFit="1" customWidth="1"/>
    <col min="7" max="7" width="10.875" style="4" bestFit="1" customWidth="1"/>
    <col min="8" max="8" width="9.875" style="4" bestFit="1" customWidth="1"/>
    <col min="9" max="16384" width="9" style="4"/>
  </cols>
  <sheetData>
    <row r="2" spans="1:8" ht="39.6" customHeight="1">
      <c r="A2" s="2" t="s">
        <v>26</v>
      </c>
      <c r="B2" s="3"/>
      <c r="C2" s="3"/>
      <c r="D2" s="3"/>
      <c r="E2" s="3"/>
      <c r="F2" s="3"/>
      <c r="G2" s="3"/>
      <c r="H2" s="3"/>
    </row>
    <row r="3" spans="1:8" ht="15" customHeight="1">
      <c r="A3" s="5" t="s">
        <v>27</v>
      </c>
      <c r="B3" s="5" t="s">
        <v>28</v>
      </c>
      <c r="C3" s="5" t="s">
        <v>73</v>
      </c>
      <c r="D3" s="5" t="s">
        <v>72</v>
      </c>
      <c r="E3" s="5" t="s">
        <v>29</v>
      </c>
      <c r="F3" s="5" t="s">
        <v>95</v>
      </c>
      <c r="G3" s="5">
        <v>2027</v>
      </c>
      <c r="H3" s="5">
        <v>2028</v>
      </c>
    </row>
    <row r="4" spans="1:8" ht="15" customHeight="1">
      <c r="A4" s="6">
        <v>1</v>
      </c>
      <c r="B4" s="7" t="s">
        <v>30</v>
      </c>
      <c r="C4" s="7">
        <v>18</v>
      </c>
      <c r="D4" s="7">
        <v>1</v>
      </c>
      <c r="E4" s="8">
        <v>2</v>
      </c>
      <c r="F4" s="8">
        <v>0</v>
      </c>
      <c r="G4" s="8">
        <f>+$C$4*$D$4*E4</f>
        <v>36</v>
      </c>
      <c r="H4" s="8">
        <f>+$C$4*$D$4*F4</f>
        <v>0</v>
      </c>
    </row>
    <row r="5" spans="1:8" ht="15" customHeight="1">
      <c r="A5" s="6">
        <v>1</v>
      </c>
      <c r="B5" s="7" t="s">
        <v>31</v>
      </c>
      <c r="C5" s="7">
        <v>18</v>
      </c>
      <c r="D5" s="7">
        <v>1</v>
      </c>
      <c r="E5" s="8">
        <v>2</v>
      </c>
      <c r="F5" s="8">
        <v>0</v>
      </c>
      <c r="G5" s="8">
        <f t="shared" ref="G5:G16" si="0">+$C$4*$D$4*E5</f>
        <v>36</v>
      </c>
      <c r="H5" s="8">
        <f t="shared" ref="H5:H16" si="1">+$C$4*$D$4*F5</f>
        <v>0</v>
      </c>
    </row>
    <row r="6" spans="1:8" ht="15" customHeight="1">
      <c r="A6" s="6">
        <v>1</v>
      </c>
      <c r="B6" s="7" t="s">
        <v>32</v>
      </c>
      <c r="C6" s="7">
        <v>18</v>
      </c>
      <c r="D6" s="7">
        <v>1</v>
      </c>
      <c r="E6" s="8">
        <v>4</v>
      </c>
      <c r="F6" s="8">
        <v>0</v>
      </c>
      <c r="G6" s="8">
        <f t="shared" si="0"/>
        <v>72</v>
      </c>
      <c r="H6" s="8">
        <f t="shared" si="1"/>
        <v>0</v>
      </c>
    </row>
    <row r="7" spans="1:8" ht="15" customHeight="1">
      <c r="A7" s="6">
        <v>1</v>
      </c>
      <c r="B7" s="7" t="s">
        <v>33</v>
      </c>
      <c r="C7" s="7">
        <v>18</v>
      </c>
      <c r="D7" s="7">
        <v>1</v>
      </c>
      <c r="E7" s="8">
        <v>2</v>
      </c>
      <c r="F7" s="8">
        <v>0</v>
      </c>
      <c r="G7" s="8">
        <f t="shared" si="0"/>
        <v>36</v>
      </c>
      <c r="H7" s="8">
        <f t="shared" si="1"/>
        <v>0</v>
      </c>
    </row>
    <row r="8" spans="1:8" ht="15" customHeight="1">
      <c r="A8" s="6">
        <v>2</v>
      </c>
      <c r="B8" s="7" t="s">
        <v>34</v>
      </c>
      <c r="C8" s="7">
        <v>18</v>
      </c>
      <c r="D8" s="7">
        <v>1</v>
      </c>
      <c r="E8" s="8">
        <v>4</v>
      </c>
      <c r="F8" s="8">
        <v>0</v>
      </c>
      <c r="G8" s="8">
        <f t="shared" si="0"/>
        <v>72</v>
      </c>
      <c r="H8" s="8">
        <f t="shared" si="1"/>
        <v>0</v>
      </c>
    </row>
    <row r="9" spans="1:8" ht="15" customHeight="1">
      <c r="A9" s="6">
        <v>2</v>
      </c>
      <c r="B9" s="7" t="s">
        <v>35</v>
      </c>
      <c r="C9" s="7">
        <v>18</v>
      </c>
      <c r="D9" s="7">
        <v>1</v>
      </c>
      <c r="E9" s="8">
        <v>2</v>
      </c>
      <c r="F9" s="8">
        <v>0</v>
      </c>
      <c r="G9" s="8">
        <f t="shared" si="0"/>
        <v>36</v>
      </c>
      <c r="H9" s="8">
        <f t="shared" si="1"/>
        <v>0</v>
      </c>
    </row>
    <row r="10" spans="1:8" ht="15" customHeight="1">
      <c r="A10" s="6">
        <v>2</v>
      </c>
      <c r="B10" s="7" t="s">
        <v>36</v>
      </c>
      <c r="C10" s="7">
        <v>18</v>
      </c>
      <c r="D10" s="7">
        <v>1</v>
      </c>
      <c r="E10" s="8">
        <v>2</v>
      </c>
      <c r="F10" s="8">
        <v>0</v>
      </c>
      <c r="G10" s="8">
        <f t="shared" si="0"/>
        <v>36</v>
      </c>
      <c r="H10" s="8">
        <f t="shared" si="1"/>
        <v>0</v>
      </c>
    </row>
    <row r="11" spans="1:8" ht="15" customHeight="1">
      <c r="A11" s="6">
        <v>2</v>
      </c>
      <c r="B11" s="7" t="s">
        <v>37</v>
      </c>
      <c r="C11" s="7">
        <v>18</v>
      </c>
      <c r="D11" s="7">
        <v>1</v>
      </c>
      <c r="E11" s="8">
        <v>2</v>
      </c>
      <c r="F11" s="8">
        <v>0</v>
      </c>
      <c r="G11" s="8">
        <f t="shared" si="0"/>
        <v>36</v>
      </c>
      <c r="H11" s="8">
        <f t="shared" si="1"/>
        <v>0</v>
      </c>
    </row>
    <row r="12" spans="1:8" ht="15" customHeight="1">
      <c r="A12" s="6">
        <v>3</v>
      </c>
      <c r="B12" s="7" t="s">
        <v>38</v>
      </c>
      <c r="C12" s="7">
        <v>18</v>
      </c>
      <c r="D12" s="7">
        <v>1</v>
      </c>
      <c r="E12" s="8">
        <v>0</v>
      </c>
      <c r="F12" s="8">
        <v>2</v>
      </c>
      <c r="G12" s="8">
        <f t="shared" si="0"/>
        <v>0</v>
      </c>
      <c r="H12" s="8">
        <f t="shared" si="1"/>
        <v>36</v>
      </c>
    </row>
    <row r="13" spans="1:8" ht="15" customHeight="1">
      <c r="A13" s="6">
        <v>3</v>
      </c>
      <c r="B13" s="7" t="s">
        <v>39</v>
      </c>
      <c r="C13" s="7">
        <v>18</v>
      </c>
      <c r="D13" s="7">
        <v>1</v>
      </c>
      <c r="E13" s="8">
        <v>0</v>
      </c>
      <c r="F13" s="8">
        <v>4</v>
      </c>
      <c r="G13" s="8">
        <f t="shared" si="0"/>
        <v>0</v>
      </c>
      <c r="H13" s="8">
        <f t="shared" si="1"/>
        <v>72</v>
      </c>
    </row>
    <row r="14" spans="1:8" ht="15" customHeight="1">
      <c r="A14" s="6">
        <v>3</v>
      </c>
      <c r="B14" s="7" t="s">
        <v>40</v>
      </c>
      <c r="C14" s="7">
        <v>18</v>
      </c>
      <c r="D14" s="7">
        <v>1</v>
      </c>
      <c r="E14" s="8">
        <v>0</v>
      </c>
      <c r="F14" s="8">
        <v>2</v>
      </c>
      <c r="G14" s="8">
        <f t="shared" si="0"/>
        <v>0</v>
      </c>
      <c r="H14" s="8">
        <f t="shared" si="1"/>
        <v>36</v>
      </c>
    </row>
    <row r="15" spans="1:8" ht="15" customHeight="1">
      <c r="A15" s="6">
        <v>3</v>
      </c>
      <c r="B15" s="7" t="s">
        <v>41</v>
      </c>
      <c r="C15" s="7">
        <v>18</v>
      </c>
      <c r="D15" s="7">
        <v>1</v>
      </c>
      <c r="E15" s="8">
        <v>0</v>
      </c>
      <c r="F15" s="8">
        <v>2</v>
      </c>
      <c r="G15" s="8">
        <f t="shared" si="0"/>
        <v>0</v>
      </c>
      <c r="H15" s="8">
        <f t="shared" si="1"/>
        <v>36</v>
      </c>
    </row>
    <row r="16" spans="1:8" ht="15" customHeight="1">
      <c r="A16" s="6">
        <v>4</v>
      </c>
      <c r="B16" s="7" t="s">
        <v>42</v>
      </c>
      <c r="C16" s="7">
        <v>18</v>
      </c>
      <c r="D16" s="7">
        <v>1</v>
      </c>
      <c r="E16" s="8">
        <v>0</v>
      </c>
      <c r="F16" s="8">
        <v>4</v>
      </c>
      <c r="G16" s="8">
        <f t="shared" si="0"/>
        <v>0</v>
      </c>
      <c r="H16" s="8">
        <f t="shared" si="1"/>
        <v>72</v>
      </c>
    </row>
    <row r="17" spans="1:8" ht="15" customHeight="1">
      <c r="A17" s="9"/>
      <c r="B17" s="9" t="s">
        <v>43</v>
      </c>
      <c r="C17" s="9"/>
      <c r="D17" s="9"/>
      <c r="E17" s="10"/>
      <c r="F17" s="10"/>
      <c r="G17" s="10">
        <f t="shared" ref="G17:H17" si="2">SUM(G4:G16)</f>
        <v>360</v>
      </c>
      <c r="H17" s="10">
        <f t="shared" si="2"/>
        <v>252</v>
      </c>
    </row>
    <row r="18" spans="1:8" ht="15" customHeight="1">
      <c r="A18" s="9"/>
      <c r="B18" s="9" t="s">
        <v>74</v>
      </c>
      <c r="C18" s="9"/>
      <c r="D18" s="9"/>
      <c r="E18" s="10"/>
      <c r="F18" s="10"/>
      <c r="G18" s="11">
        <f>+G17*Parámetros!B5</f>
        <v>12600000</v>
      </c>
      <c r="H18" s="11">
        <f>+H17*Parámetros!C5</f>
        <v>8820000</v>
      </c>
    </row>
    <row r="20" spans="1:8">
      <c r="A20" s="12" t="s">
        <v>78</v>
      </c>
      <c r="B20" s="13"/>
      <c r="C20" s="13"/>
      <c r="D20" s="13"/>
    </row>
    <row r="21" spans="1:8" ht="38.25">
      <c r="A21" s="14" t="s">
        <v>79</v>
      </c>
      <c r="B21" s="14" t="s">
        <v>96</v>
      </c>
      <c r="C21" s="14" t="s">
        <v>97</v>
      </c>
      <c r="D21" s="14" t="s">
        <v>98</v>
      </c>
    </row>
    <row r="22" spans="1:8">
      <c r="A22" s="15" t="s">
        <v>49</v>
      </c>
      <c r="B22" s="16">
        <f>+'Flujo estudiantes'!C7</f>
        <v>12</v>
      </c>
      <c r="C22" s="17">
        <f>+Parámetros!C7</f>
        <v>262500</v>
      </c>
      <c r="D22" s="17">
        <f>B22*C22</f>
        <v>3150000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topLeftCell="A6" workbookViewId="0">
      <selection activeCell="C46" sqref="C46"/>
    </sheetView>
  </sheetViews>
  <sheetFormatPr baseColWidth="10" defaultColWidth="9" defaultRowHeight="15"/>
  <cols>
    <col min="1" max="1" width="58.625" style="4" customWidth="1"/>
    <col min="2" max="3" width="18.625" style="4" customWidth="1"/>
    <col min="4" max="16384" width="9" style="4"/>
  </cols>
  <sheetData>
    <row r="1" spans="1:3" ht="18.75">
      <c r="A1" s="22" t="s">
        <v>99</v>
      </c>
      <c r="B1" s="22"/>
      <c r="C1" s="22"/>
    </row>
    <row r="2" spans="1:3">
      <c r="A2" s="23"/>
      <c r="B2" s="23"/>
      <c r="C2" s="23"/>
    </row>
    <row r="3" spans="1:3">
      <c r="A3" s="24" t="s">
        <v>44</v>
      </c>
      <c r="B3" s="25">
        <v>2027</v>
      </c>
      <c r="C3" s="25">
        <v>2028</v>
      </c>
    </row>
    <row r="4" spans="1:3">
      <c r="A4" s="26" t="s">
        <v>2</v>
      </c>
      <c r="B4" s="36">
        <f>'Flujo estudiantes'!B8</f>
        <v>2305800</v>
      </c>
      <c r="C4" s="36">
        <f>'Flujo estudiantes'!C8</f>
        <v>2421096</v>
      </c>
    </row>
    <row r="5" spans="1:3">
      <c r="A5" s="27" t="s">
        <v>45</v>
      </c>
      <c r="B5" s="37">
        <f>'Flujo estudiantes'!B12</f>
        <v>38784375</v>
      </c>
      <c r="C5" s="37">
        <f>'Flujo estudiantes'!C12</f>
        <v>38784375</v>
      </c>
    </row>
    <row r="6" spans="1:3">
      <c r="A6" s="27" t="s">
        <v>46</v>
      </c>
      <c r="B6" s="37">
        <f>-B5*Parámetros!B11</f>
        <v>-5817656.25</v>
      </c>
      <c r="C6" s="37">
        <f>-C5*Parámetros!C11</f>
        <v>-5817656.25</v>
      </c>
    </row>
    <row r="7" spans="1:3">
      <c r="A7" s="28" t="s">
        <v>71</v>
      </c>
      <c r="B7" s="38">
        <f>SUM(B5:B6)</f>
        <v>32966718.75</v>
      </c>
      <c r="C7" s="38">
        <f>SUM(C5:C6)</f>
        <v>32966718.75</v>
      </c>
    </row>
    <row r="8" spans="1:3">
      <c r="A8" s="29" t="s">
        <v>47</v>
      </c>
      <c r="B8" s="39">
        <f>-'Costo Directo de Docencia'!G18</f>
        <v>-12600000</v>
      </c>
      <c r="C8" s="39">
        <f>-'Costo Directo de Docencia'!H18</f>
        <v>-8820000</v>
      </c>
    </row>
    <row r="9" spans="1:3">
      <c r="A9" s="29" t="s">
        <v>48</v>
      </c>
      <c r="B9" s="39">
        <f>0</f>
        <v>0</v>
      </c>
      <c r="C9" s="39">
        <f>0</f>
        <v>0</v>
      </c>
    </row>
    <row r="10" spans="1:3">
      <c r="A10" s="29" t="s">
        <v>49</v>
      </c>
      <c r="B10" s="39">
        <f>0</f>
        <v>0</v>
      </c>
      <c r="C10" s="39">
        <f>-'Flujo estudiantes'!C6*Parámetros!$C$7</f>
        <v>-3150000</v>
      </c>
    </row>
    <row r="11" spans="1:3">
      <c r="A11" s="30" t="s">
        <v>50</v>
      </c>
      <c r="B11" s="40">
        <f>SUM(B8:B10)</f>
        <v>-12600000</v>
      </c>
      <c r="C11" s="40">
        <f>SUM(C8:C10)</f>
        <v>-11970000</v>
      </c>
    </row>
    <row r="12" spans="1:3">
      <c r="A12" s="29" t="s">
        <v>51</v>
      </c>
      <c r="B12" s="39">
        <f>-'Prorrateo Staff'!F4</f>
        <v>-2076337.5</v>
      </c>
      <c r="C12" s="39">
        <f>-'Prorrateo Staff'!F7</f>
        <v>-4360309</v>
      </c>
    </row>
    <row r="13" spans="1:3">
      <c r="A13" s="29" t="s">
        <v>8</v>
      </c>
      <c r="B13" s="39">
        <f>-'Prorrateo Staff'!F13</f>
        <v>-1050000</v>
      </c>
      <c r="C13" s="39">
        <f>-'Prorrateo Staff'!F16</f>
        <v>-2205000</v>
      </c>
    </row>
    <row r="14" spans="1:3">
      <c r="A14" s="29" t="s">
        <v>9</v>
      </c>
      <c r="B14" s="39">
        <v>-1000000</v>
      </c>
      <c r="C14" s="39">
        <v>-1000000</v>
      </c>
    </row>
    <row r="15" spans="1:3">
      <c r="A15" s="29" t="s">
        <v>66</v>
      </c>
      <c r="B15" s="39">
        <f>-'Prorrateo Staff'!F22</f>
        <v>-525000</v>
      </c>
      <c r="C15" s="39">
        <f>-'Prorrateo Staff'!F25</f>
        <v>-1102500</v>
      </c>
    </row>
    <row r="16" spans="1:3">
      <c r="A16" s="30" t="s">
        <v>52</v>
      </c>
      <c r="B16" s="40">
        <f>SUM(B12:B15)</f>
        <v>-4651337.5</v>
      </c>
      <c r="C16" s="40">
        <f>SUM(C12:C15)</f>
        <v>-8667809</v>
      </c>
    </row>
    <row r="17" spans="1:3">
      <c r="A17" s="29" t="s">
        <v>53</v>
      </c>
      <c r="B17" s="39">
        <v>0</v>
      </c>
      <c r="C17" s="39">
        <v>0</v>
      </c>
    </row>
    <row r="18" spans="1:3">
      <c r="A18" s="29" t="s">
        <v>54</v>
      </c>
      <c r="B18" s="39">
        <v>0</v>
      </c>
      <c r="C18" s="39">
        <v>0</v>
      </c>
    </row>
    <row r="19" spans="1:3">
      <c r="A19" s="30" t="s">
        <v>55</v>
      </c>
      <c r="B19" s="40">
        <f>SUM(B17:B18)</f>
        <v>0</v>
      </c>
      <c r="C19" s="40">
        <f>SUM(C17:C18)</f>
        <v>0</v>
      </c>
    </row>
    <row r="20" spans="1:3">
      <c r="A20" s="29" t="s">
        <v>12</v>
      </c>
      <c r="B20" s="39">
        <v>0</v>
      </c>
      <c r="C20" s="39">
        <v>0</v>
      </c>
    </row>
    <row r="21" spans="1:3">
      <c r="A21" s="30" t="s">
        <v>56</v>
      </c>
      <c r="B21" s="40">
        <f>SUM(B20)</f>
        <v>0</v>
      </c>
      <c r="C21" s="40">
        <f>SUM(C20)</f>
        <v>0</v>
      </c>
    </row>
    <row r="22" spans="1:3">
      <c r="A22" s="29" t="s">
        <v>10</v>
      </c>
      <c r="B22" s="39">
        <v>-1000000</v>
      </c>
      <c r="C22" s="39">
        <v>0</v>
      </c>
    </row>
    <row r="23" spans="1:3">
      <c r="A23" s="29" t="s">
        <v>11</v>
      </c>
      <c r="B23" s="39">
        <v>-1000000</v>
      </c>
      <c r="C23" s="39">
        <v>0</v>
      </c>
    </row>
    <row r="24" spans="1:3">
      <c r="A24" s="30" t="s">
        <v>67</v>
      </c>
      <c r="B24" s="40">
        <f>SUM(B22:B23)</f>
        <v>-2000000</v>
      </c>
      <c r="C24" s="40">
        <f>SUM(C22:C23)</f>
        <v>0</v>
      </c>
    </row>
    <row r="25" spans="1:3">
      <c r="A25" s="29" t="s">
        <v>70</v>
      </c>
      <c r="B25" s="39">
        <v>0</v>
      </c>
      <c r="C25" s="39">
        <v>0</v>
      </c>
    </row>
    <row r="26" spans="1:3">
      <c r="A26" s="30" t="s">
        <v>75</v>
      </c>
      <c r="B26" s="40">
        <f>SUM(B25)</f>
        <v>0</v>
      </c>
      <c r="C26" s="40">
        <f>SUM(C25)</f>
        <v>0</v>
      </c>
    </row>
    <row r="27" spans="1:3">
      <c r="A27" s="29" t="s">
        <v>13</v>
      </c>
      <c r="B27" s="39">
        <v>-500000</v>
      </c>
      <c r="C27" s="39">
        <v>-500000</v>
      </c>
    </row>
    <row r="28" spans="1:3">
      <c r="A28" s="30" t="s">
        <v>57</v>
      </c>
      <c r="B28" s="40">
        <f>SUM(B27)</f>
        <v>-500000</v>
      </c>
      <c r="C28" s="40">
        <f>SUM(C27)</f>
        <v>-500000</v>
      </c>
    </row>
    <row r="29" spans="1:3">
      <c r="A29" s="29" t="s">
        <v>14</v>
      </c>
      <c r="B29" s="39">
        <v>0</v>
      </c>
      <c r="C29" s="39">
        <v>0</v>
      </c>
    </row>
    <row r="30" spans="1:3">
      <c r="A30" s="29" t="s">
        <v>107</v>
      </c>
      <c r="B30" s="39">
        <v>-500000</v>
      </c>
      <c r="C30" s="39">
        <v>-500000</v>
      </c>
    </row>
    <row r="31" spans="1:3">
      <c r="A31" s="30" t="s">
        <v>58</v>
      </c>
      <c r="B31" s="40">
        <f>SUM(B29:B30)</f>
        <v>-500000</v>
      </c>
      <c r="C31" s="40">
        <f>SUM(C29:C30)</f>
        <v>-500000</v>
      </c>
    </row>
    <row r="32" spans="1:3">
      <c r="A32" s="29" t="s">
        <v>15</v>
      </c>
      <c r="B32" s="39">
        <v>-4000000</v>
      </c>
      <c r="C32" s="39">
        <v>0</v>
      </c>
    </row>
    <row r="33" spans="1:3">
      <c r="A33" s="30" t="s">
        <v>59</v>
      </c>
      <c r="B33" s="40">
        <f>SUM(B32)</f>
        <v>-4000000</v>
      </c>
      <c r="C33" s="40">
        <f>SUM(C32)</f>
        <v>0</v>
      </c>
    </row>
    <row r="34" spans="1:3">
      <c r="A34" s="29" t="s">
        <v>5</v>
      </c>
      <c r="B34" s="39">
        <f>-$B$7*Parámetros!B12</f>
        <v>-6593343.75</v>
      </c>
      <c r="C34" s="39">
        <f>-$C$7*Parámetros!C12</f>
        <v>-6593343.75</v>
      </c>
    </row>
    <row r="35" spans="1:3">
      <c r="A35" s="29" t="s">
        <v>6</v>
      </c>
      <c r="B35" s="39">
        <f>-$B$7*Parámetros!B13</f>
        <v>-3296671.875</v>
      </c>
      <c r="C35" s="39">
        <f>-$C$7*Parámetros!C13</f>
        <v>-3296671.875</v>
      </c>
    </row>
    <row r="36" spans="1:3">
      <c r="A36" s="30" t="s">
        <v>60</v>
      </c>
      <c r="B36" s="40">
        <f>SUM(B34:B35)</f>
        <v>-9890015.625</v>
      </c>
      <c r="C36" s="40">
        <f>SUM(C34:C35)</f>
        <v>-9890015.625</v>
      </c>
    </row>
    <row r="37" spans="1:3" ht="15.75" thickBot="1">
      <c r="A37" s="31" t="s">
        <v>61</v>
      </c>
      <c r="B37" s="41">
        <f>SUM(B11,B16,B19,B21,B24,B26,B28,B31,B33,B36)</f>
        <v>-34141353.125</v>
      </c>
      <c r="C37" s="41">
        <f>SUM(C11,C16,C19,C21,C24,C26,C28,C31,C33,C36)</f>
        <v>-31527824.625</v>
      </c>
    </row>
    <row r="38" spans="1:3" ht="15.75" thickBot="1">
      <c r="A38" s="32" t="s">
        <v>62</v>
      </c>
      <c r="B38" s="42">
        <f>+B7+B37</f>
        <v>-1174634.375</v>
      </c>
      <c r="C38" s="42">
        <f>+C7+C37</f>
        <v>1438894.125</v>
      </c>
    </row>
    <row r="39" spans="1:3">
      <c r="A39" s="33" t="s">
        <v>63</v>
      </c>
      <c r="B39" s="43">
        <v>0</v>
      </c>
      <c r="C39" s="43">
        <f>+B40</f>
        <v>-1174634.375</v>
      </c>
    </row>
    <row r="40" spans="1:3">
      <c r="A40" s="34" t="s">
        <v>64</v>
      </c>
      <c r="B40" s="44">
        <f>+SUM(B38:B39)</f>
        <v>-1174634.375</v>
      </c>
      <c r="C40" s="44">
        <f>+SUM(C38:C39)</f>
        <v>264259.75</v>
      </c>
    </row>
    <row r="41" spans="1:3">
      <c r="A41" s="34" t="s">
        <v>65</v>
      </c>
      <c r="B41" s="35">
        <f>(B7+B37)/B7</f>
        <v>-3.5630915648831446E-2</v>
      </c>
      <c r="C41" s="35">
        <f>(C7+C37)/C7</f>
        <v>4.3646871134240497E-2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E836-6B78-4F12-993F-397E471A37E0}">
  <dimension ref="A2:F27"/>
  <sheetViews>
    <sheetView workbookViewId="0">
      <selection activeCell="F16" sqref="F16"/>
    </sheetView>
  </sheetViews>
  <sheetFormatPr baseColWidth="10" defaultRowHeight="14.25"/>
  <cols>
    <col min="2" max="2" width="11.875" bestFit="1" customWidth="1"/>
    <col min="3" max="3" width="40.625" bestFit="1" customWidth="1"/>
    <col min="4" max="4" width="11" style="79"/>
  </cols>
  <sheetData>
    <row r="2" spans="1:6" ht="15">
      <c r="A2" s="73" t="s">
        <v>80</v>
      </c>
      <c r="B2" s="74"/>
      <c r="C2" s="74"/>
      <c r="D2" s="74"/>
      <c r="E2" s="74"/>
      <c r="F2" s="74"/>
    </row>
    <row r="3" spans="1:6" ht="15">
      <c r="A3" s="45" t="s">
        <v>81</v>
      </c>
      <c r="B3" s="46" t="s">
        <v>82</v>
      </c>
      <c r="C3" s="46" t="s">
        <v>83</v>
      </c>
      <c r="D3" s="75" t="s">
        <v>84</v>
      </c>
      <c r="E3" s="46" t="s">
        <v>85</v>
      </c>
      <c r="F3" s="47" t="s">
        <v>86</v>
      </c>
    </row>
    <row r="4" spans="1:6">
      <c r="A4" s="48">
        <v>2027</v>
      </c>
      <c r="B4" s="49" t="s">
        <v>87</v>
      </c>
      <c r="C4" s="49" t="s">
        <v>105</v>
      </c>
      <c r="D4" s="76">
        <v>0.5</v>
      </c>
      <c r="E4" s="50">
        <f>+$C$6/$D$6</f>
        <v>4152675</v>
      </c>
      <c r="F4" s="51">
        <f>D4*E4</f>
        <v>2076337.5</v>
      </c>
    </row>
    <row r="5" spans="1:6">
      <c r="A5" s="48">
        <v>2027</v>
      </c>
      <c r="B5" s="49" t="s">
        <v>88</v>
      </c>
      <c r="C5" s="49" t="s">
        <v>105</v>
      </c>
      <c r="D5" s="76">
        <v>0.5</v>
      </c>
      <c r="E5" s="50">
        <f>+$C$6/$D$6</f>
        <v>4152675</v>
      </c>
      <c r="F5" s="51">
        <f>D5*E5</f>
        <v>2076337.5</v>
      </c>
    </row>
    <row r="6" spans="1:6" ht="15">
      <c r="A6" s="52">
        <v>2027</v>
      </c>
      <c r="B6" s="53" t="s">
        <v>89</v>
      </c>
      <c r="C6" s="54">
        <f>+Parámetros!B14</f>
        <v>4152675</v>
      </c>
      <c r="D6" s="77">
        <f>SUM(D4:D5)</f>
        <v>1</v>
      </c>
      <c r="E6" s="55"/>
      <c r="F6" s="56">
        <f>SUM(F4:F5)</f>
        <v>4152675</v>
      </c>
    </row>
    <row r="7" spans="1:6">
      <c r="A7" s="48">
        <v>2028</v>
      </c>
      <c r="B7" s="49" t="s">
        <v>88</v>
      </c>
      <c r="C7" s="49" t="s">
        <v>106</v>
      </c>
      <c r="D7" s="76">
        <v>1</v>
      </c>
      <c r="E7" s="50">
        <f t="shared" ref="E7:E8" si="0">+$C$9/$D$9</f>
        <v>4360309</v>
      </c>
      <c r="F7" s="51">
        <f>D7*E7</f>
        <v>4360309</v>
      </c>
    </row>
    <row r="8" spans="1:6">
      <c r="A8" s="48">
        <v>2028</v>
      </c>
      <c r="B8" s="49" t="s">
        <v>100</v>
      </c>
      <c r="C8" s="49" t="s">
        <v>106</v>
      </c>
      <c r="D8" s="76">
        <v>0</v>
      </c>
      <c r="E8" s="50">
        <f t="shared" si="0"/>
        <v>4360309</v>
      </c>
      <c r="F8" s="51">
        <f>D8*E8</f>
        <v>0</v>
      </c>
    </row>
    <row r="9" spans="1:6" ht="15">
      <c r="A9" s="57">
        <v>2028</v>
      </c>
      <c r="B9" s="58" t="s">
        <v>101</v>
      </c>
      <c r="C9" s="54">
        <f>+Parámetros!C14</f>
        <v>4360309</v>
      </c>
      <c r="D9" s="78">
        <f>SUM(D7:D8)</f>
        <v>1</v>
      </c>
      <c r="E9" s="59"/>
      <c r="F9" s="60">
        <f>SUM(F7:F8)</f>
        <v>4360309</v>
      </c>
    </row>
    <row r="11" spans="1:6" ht="15">
      <c r="A11" s="73" t="s">
        <v>8</v>
      </c>
      <c r="B11" s="74"/>
      <c r="C11" s="74"/>
      <c r="D11" s="74"/>
      <c r="E11" s="74"/>
      <c r="F11" s="74"/>
    </row>
    <row r="12" spans="1:6" ht="15">
      <c r="A12" s="45" t="s">
        <v>81</v>
      </c>
      <c r="B12" s="46" t="s">
        <v>82</v>
      </c>
      <c r="C12" s="46" t="s">
        <v>83</v>
      </c>
      <c r="D12" s="75" t="s">
        <v>84</v>
      </c>
      <c r="E12" s="46" t="s">
        <v>85</v>
      </c>
      <c r="F12" s="47" t="s">
        <v>86</v>
      </c>
    </row>
    <row r="13" spans="1:6">
      <c r="A13" s="48">
        <v>2027</v>
      </c>
      <c r="B13" s="49" t="s">
        <v>87</v>
      </c>
      <c r="C13" s="49" t="s">
        <v>105</v>
      </c>
      <c r="D13" s="76">
        <v>0.5</v>
      </c>
      <c r="E13" s="50">
        <f>+$C$15/$D$15</f>
        <v>2100000</v>
      </c>
      <c r="F13" s="51">
        <f>D13*E13</f>
        <v>1050000</v>
      </c>
    </row>
    <row r="14" spans="1:6">
      <c r="A14" s="48">
        <v>2027</v>
      </c>
      <c r="B14" s="49" t="s">
        <v>88</v>
      </c>
      <c r="C14" s="49" t="s">
        <v>105</v>
      </c>
      <c r="D14" s="76">
        <v>0.5</v>
      </c>
      <c r="E14" s="50">
        <f>+$C$15/$D$15</f>
        <v>2100000</v>
      </c>
      <c r="F14" s="51">
        <f>D14*E14</f>
        <v>1050000</v>
      </c>
    </row>
    <row r="15" spans="1:6" ht="15">
      <c r="A15" s="52">
        <v>2027</v>
      </c>
      <c r="B15" s="53" t="s">
        <v>89</v>
      </c>
      <c r="C15" s="54">
        <f>+Parámetros!B15</f>
        <v>2100000</v>
      </c>
      <c r="D15" s="77">
        <f>SUM(D13:D14)</f>
        <v>1</v>
      </c>
      <c r="E15" s="55"/>
      <c r="F15" s="56">
        <f>SUM(F13:F14)</f>
        <v>2100000</v>
      </c>
    </row>
    <row r="16" spans="1:6">
      <c r="A16" s="48">
        <v>2028</v>
      </c>
      <c r="B16" s="49" t="s">
        <v>88</v>
      </c>
      <c r="C16" s="49" t="s">
        <v>106</v>
      </c>
      <c r="D16" s="76">
        <v>1</v>
      </c>
      <c r="E16" s="50">
        <f t="shared" ref="E16:E17" si="1">$C$18/$D$18</f>
        <v>2205000</v>
      </c>
      <c r="F16" s="51">
        <f>D16*E16</f>
        <v>2205000</v>
      </c>
    </row>
    <row r="17" spans="1:6">
      <c r="A17" s="48">
        <v>2028</v>
      </c>
      <c r="B17" s="49" t="s">
        <v>100</v>
      </c>
      <c r="C17" s="49" t="s">
        <v>106</v>
      </c>
      <c r="D17" s="76">
        <v>0</v>
      </c>
      <c r="E17" s="50">
        <f t="shared" si="1"/>
        <v>2205000</v>
      </c>
      <c r="F17" s="51">
        <f>D17*E17</f>
        <v>0</v>
      </c>
    </row>
    <row r="18" spans="1:6" ht="15">
      <c r="A18" s="57">
        <v>2028</v>
      </c>
      <c r="B18" s="58" t="s">
        <v>101</v>
      </c>
      <c r="C18" s="61">
        <f>+Parámetros!C15</f>
        <v>2205000</v>
      </c>
      <c r="D18" s="78">
        <f>SUM(D16:D17)</f>
        <v>1</v>
      </c>
      <c r="E18" s="59"/>
      <c r="F18" s="60">
        <f>SUM(F16:F17)</f>
        <v>2205000</v>
      </c>
    </row>
    <row r="20" spans="1:6" ht="15">
      <c r="A20" s="73" t="s">
        <v>66</v>
      </c>
      <c r="B20" s="74"/>
      <c r="C20" s="74"/>
      <c r="D20" s="74"/>
      <c r="E20" s="74"/>
      <c r="F20" s="74"/>
    </row>
    <row r="21" spans="1:6" ht="15">
      <c r="A21" s="45" t="s">
        <v>81</v>
      </c>
      <c r="B21" s="46" t="s">
        <v>82</v>
      </c>
      <c r="C21" s="46" t="s">
        <v>83</v>
      </c>
      <c r="D21" s="75" t="s">
        <v>84</v>
      </c>
      <c r="E21" s="46" t="s">
        <v>85</v>
      </c>
      <c r="F21" s="47" t="s">
        <v>86</v>
      </c>
    </row>
    <row r="22" spans="1:6">
      <c r="A22" s="48">
        <v>2027</v>
      </c>
      <c r="B22" s="49" t="s">
        <v>87</v>
      </c>
      <c r="C22" s="49" t="s">
        <v>105</v>
      </c>
      <c r="D22" s="76">
        <v>0.5</v>
      </c>
      <c r="E22" s="50">
        <f>+$C$24/$D$24</f>
        <v>1050000</v>
      </c>
      <c r="F22" s="51">
        <f>D22*E22</f>
        <v>525000</v>
      </c>
    </row>
    <row r="23" spans="1:6">
      <c r="A23" s="48">
        <v>2027</v>
      </c>
      <c r="B23" s="49" t="s">
        <v>88</v>
      </c>
      <c r="C23" s="49" t="s">
        <v>105</v>
      </c>
      <c r="D23" s="76">
        <v>0.5</v>
      </c>
      <c r="E23" s="50">
        <f>+$C$24/$D$24</f>
        <v>1050000</v>
      </c>
      <c r="F23" s="51">
        <f>D23*E23</f>
        <v>525000</v>
      </c>
    </row>
    <row r="24" spans="1:6" ht="15">
      <c r="A24" s="52">
        <v>2027</v>
      </c>
      <c r="B24" s="53" t="s">
        <v>89</v>
      </c>
      <c r="C24" s="54">
        <f>+Parámetros!B16</f>
        <v>1050000</v>
      </c>
      <c r="D24" s="77">
        <f>SUM(D22:D23)</f>
        <v>1</v>
      </c>
      <c r="E24" s="55"/>
      <c r="F24" s="56">
        <f>SUM(F22:F23)</f>
        <v>1050000</v>
      </c>
    </row>
    <row r="25" spans="1:6">
      <c r="A25" s="48">
        <v>2028</v>
      </c>
      <c r="B25" s="49" t="s">
        <v>88</v>
      </c>
      <c r="C25" s="49" t="s">
        <v>106</v>
      </c>
      <c r="D25" s="76">
        <v>1</v>
      </c>
      <c r="E25" s="50">
        <f t="shared" ref="E25:E26" si="2">$C$27/$D$27</f>
        <v>1102500</v>
      </c>
      <c r="F25" s="51">
        <f>D25*E25</f>
        <v>1102500</v>
      </c>
    </row>
    <row r="26" spans="1:6">
      <c r="A26" s="48">
        <v>2028</v>
      </c>
      <c r="B26" s="49" t="s">
        <v>100</v>
      </c>
      <c r="C26" s="49" t="s">
        <v>106</v>
      </c>
      <c r="D26" s="76">
        <v>0</v>
      </c>
      <c r="E26" s="50">
        <f t="shared" si="2"/>
        <v>1102500</v>
      </c>
      <c r="F26" s="51">
        <f>D26*E26</f>
        <v>0</v>
      </c>
    </row>
    <row r="27" spans="1:6" ht="15">
      <c r="A27" s="57">
        <v>2028</v>
      </c>
      <c r="B27" s="58" t="s">
        <v>101</v>
      </c>
      <c r="C27" s="61">
        <f>+Parámetros!C16</f>
        <v>1102500</v>
      </c>
      <c r="D27" s="78">
        <f>SUM(D25:D26)</f>
        <v>1</v>
      </c>
      <c r="E27" s="59"/>
      <c r="F27" s="60">
        <f>SUM(F25:F26)</f>
        <v>1102500</v>
      </c>
    </row>
  </sheetData>
  <mergeCells count="3">
    <mergeCell ref="A2:F2"/>
    <mergeCell ref="A11:F11"/>
    <mergeCell ref="A20:F20"/>
  </mergeCells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Parámetros</vt:lpstr>
      <vt:lpstr>Flujo estudiantes</vt:lpstr>
      <vt:lpstr>Costo Directo de Docencia</vt:lpstr>
      <vt:lpstr>FLUJO TOTAL</vt:lpstr>
      <vt:lpstr>Prorrateo 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Gutiérrez</dc:creator>
  <cp:lastModifiedBy>Antonio G.</cp:lastModifiedBy>
  <dcterms:created xsi:type="dcterms:W3CDTF">2026-05-11T21:05:25Z</dcterms:created>
  <dcterms:modified xsi:type="dcterms:W3CDTF">2026-08-20T13:36:52Z</dcterms:modified>
</cp:coreProperties>
</file>